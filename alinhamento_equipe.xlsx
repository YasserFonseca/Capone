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são Geral" sheetId="1" state="visible" r:id="rId3"/>
    <sheet name="Custos e Margem" sheetId="2" state="visible" r:id="rId4"/>
    <sheet name="Cronograma" sheetId="3" state="visible" r:id="rId5"/>
    <sheet name="Fluxo do Sistem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<sst xmlns="http://schemas.openxmlformats.org/spreadsheetml/2006/main" count="200" uniqueCount="153">
  <si>
    <t xml:space="preserve">AUTOMAÇÃO DE ATENDIMENTO — ALINHAMENTO DE EQUIPE</t>
  </si>
  <si>
    <t xml:space="preserve">Documento de alinhamento interno — Maio 2026</t>
  </si>
  <si>
    <t xml:space="preserve">CONCEITO DO PRODUTO</t>
  </si>
  <si>
    <t xml:space="preserve">Produto</t>
  </si>
  <si>
    <t xml:space="preserve">Automações de atendimento prontas com CRM integrado, vendidas por segmento de negócio</t>
  </si>
  <si>
    <t xml:space="preserve">Segmentos iniciais</t>
  </si>
  <si>
    <t xml:space="preserve">Barbearia, Dentista (expansível para outros segmentos)</t>
  </si>
  <si>
    <t xml:space="preserve">Canal de atendimento</t>
  </si>
  <si>
    <t xml:space="preserve">WhatsApp via Evolution API (número do próprio cliente)</t>
  </si>
  <si>
    <t xml:space="preserve">Funcionalidades do bot</t>
  </si>
  <si>
    <t xml:space="preserve">FAQ automático, Agendamento, Geração de pagamento, Confirmação de pagamento</t>
  </si>
  <si>
    <t xml:space="preserve">Modelo de entrega</t>
  </si>
  <si>
    <t xml:space="preserve">Produto parametrizado — cliente preenche dados, sistema provisiona automaticamente</t>
  </si>
  <si>
    <t xml:space="preserve">STACK TECNOLÓGICA</t>
  </si>
  <si>
    <t xml:space="preserve">Camada</t>
  </si>
  <si>
    <t xml:space="preserve">Tecnologia</t>
  </si>
  <si>
    <t xml:space="preserve">Função</t>
  </si>
  <si>
    <t xml:space="preserve">Frontend</t>
  </si>
  <si>
    <t xml:space="preserve">Next.js 14 + TypeScript</t>
  </si>
  <si>
    <t xml:space="preserve">Landing page, onboarding, dashboard do cliente, painel admin</t>
  </si>
  <si>
    <t xml:space="preserve">Banco de dados</t>
  </si>
  <si>
    <t xml:space="preserve">Supabase</t>
  </si>
  <si>
    <t xml:space="preserve">Auth, armazenamento de tenants, agendamentos, pagamentos</t>
  </si>
  <si>
    <t xml:space="preserve">Bot / WhatsApp</t>
  </si>
  <si>
    <t xml:space="preserve">Evolution API</t>
  </si>
  <si>
    <t xml:space="preserve">Multi-instância, provisionamento automático por cliente</t>
  </si>
  <si>
    <t xml:space="preserve">Backend / Workers</t>
  </si>
  <si>
    <t xml:space="preserve">Node.js + Express (Railway)</t>
  </si>
  <si>
    <t xml:space="preserve">Servidor persistente 24/7, webhooks, lógica do bot</t>
  </si>
  <si>
    <t xml:space="preserve">Pagamento (plataforma)</t>
  </si>
  <si>
    <t xml:space="preserve">Mercado Pago</t>
  </si>
  <si>
    <t xml:space="preserve">Cobrança do cliente pela plataforma — PIX e cartão</t>
  </si>
  <si>
    <t xml:space="preserve">Pagamento (cliente final)</t>
  </si>
  <si>
    <t xml:space="preserve">Mercado Pago OAuth</t>
  </si>
  <si>
    <t xml:space="preserve">Cliente recebe pagamentos direto na conta dele</t>
  </si>
  <si>
    <t xml:space="preserve">Hospedagem frontend</t>
  </si>
  <si>
    <t xml:space="preserve">Vercel</t>
  </si>
  <si>
    <t xml:space="preserve">Deploy automático, CDN global</t>
  </si>
  <si>
    <t xml:space="preserve">Hospedagem backend</t>
  </si>
  <si>
    <t xml:space="preserve">Railway</t>
  </si>
  <si>
    <t xml:space="preserve">Servidor persistente, escala conforme crescimento</t>
  </si>
  <si>
    <t xml:space="preserve">CUSTOS DE INFRAESTRUTURA E PROJEÇÃO DE MARGEM</t>
  </si>
  <si>
    <t xml:space="preserve">CUSTOS FIXOS MENSAIS (INFRAESTRUTURA)</t>
  </si>
  <si>
    <t xml:space="preserve">Item</t>
  </si>
  <si>
    <t xml:space="preserve">Serviço</t>
  </si>
  <si>
    <t xml:space="preserve">Custo (USD)</t>
  </si>
  <si>
    <t xml:space="preserve">Custo (BRL ~R$5,80)</t>
  </si>
  <si>
    <t xml:space="preserve">Observação</t>
  </si>
  <si>
    <t xml:space="preserve">Backend 24/7</t>
  </si>
  <si>
    <t xml:space="preserve">Railway (Evolution API + Express)</t>
  </si>
  <si>
    <t xml:space="preserve">Sobe conforme uso — base pra começar</t>
  </si>
  <si>
    <t xml:space="preserve">Free tier aguenta bem nos primeiros meses</t>
  </si>
  <si>
    <t xml:space="preserve">Free tier — domínio customizado incluso</t>
  </si>
  <si>
    <t xml:space="preserve">Total mensal</t>
  </si>
  <si>
    <t xml:space="preserve">MODELO DE PREÇOS AO CLIENTE</t>
  </si>
  <si>
    <t xml:space="preserve">Tipo de cobrança</t>
  </si>
  <si>
    <t xml:space="preserve">Valor mín. (R$)</t>
  </si>
  <si>
    <t xml:space="preserve">Valor máx. (R$)</t>
  </si>
  <si>
    <t xml:space="preserve">Recomendado (R$)</t>
  </si>
  <si>
    <t xml:space="preserve">Setup (pagamento único)</t>
  </si>
  <si>
    <t xml:space="preserve">Cobre tempo de configuração + onboarding + QR Code</t>
  </si>
  <si>
    <t xml:space="preserve">Mensalidade (manutenção)</t>
  </si>
  <si>
    <t xml:space="preserve">Bot rodando, suporte, atualizações de prompt</t>
  </si>
  <si>
    <t xml:space="preserve">PROJEÇÃO DE RECEITA RECORRENTE (MENSALIDADE)</t>
  </si>
  <si>
    <t xml:space="preserve">Cenário</t>
  </si>
  <si>
    <t xml:space="preserve">Clientes ativos</t>
  </si>
  <si>
    <t xml:space="preserve">Mensalidade (R$)</t>
  </si>
  <si>
    <t xml:space="preserve">Receita mensal (R$)</t>
  </si>
  <si>
    <t xml:space="preserve">Custo infra (R$)</t>
  </si>
  <si>
    <t xml:space="preserve">Margem líquida (R$)</t>
  </si>
  <si>
    <t xml:space="preserve">Mês 1–2 (validação)</t>
  </si>
  <si>
    <t xml:space="preserve">Mês 3 (tração inicial)</t>
  </si>
  <si>
    <t xml:space="preserve">Mês 6 (crescimento)</t>
  </si>
  <si>
    <t xml:space="preserve">Mês 12 (consolidado)</t>
  </si>
  <si>
    <t xml:space="preserve">CRONOGRAMA DE DESENVOLVIMENTO</t>
  </si>
  <si>
    <t xml:space="preserve">Fase</t>
  </si>
  <si>
    <t xml:space="preserve">Etapa</t>
  </si>
  <si>
    <t xml:space="preserve">Descrição</t>
  </si>
  <si>
    <t xml:space="preserve">Semana</t>
  </si>
  <si>
    <t xml:space="preserve">Prioridade</t>
  </si>
  <si>
    <t xml:space="preserve">Status</t>
  </si>
  <si>
    <t xml:space="preserve">Fase 1 — Fundação</t>
  </si>
  <si>
    <t xml:space="preserve">Schema Supabase</t>
  </si>
  <si>
    <t xml:space="preserve">Tabelas: tenants, tenant_config, whatsapp_instances, appointments, payments, segments, segment_prompts</t>
  </si>
  <si>
    <t xml:space="preserve">Sem. 1</t>
  </si>
  <si>
    <t xml:space="preserve">CRÍTICO</t>
  </si>
  <si>
    <t xml:space="preserve">Pendente</t>
  </si>
  <si>
    <t xml:space="preserve">Autenticação</t>
  </si>
  <si>
    <t xml:space="preserve">Auth via Supabase, RLS por tenant, middleware de roles</t>
  </si>
  <si>
    <t xml:space="preserve">Fase 2 — Produto</t>
  </si>
  <si>
    <t xml:space="preserve">Landing page</t>
  </si>
  <si>
    <t xml:space="preserve">Catálogo de segmentos, copy de venda, SEO básico</t>
  </si>
  <si>
    <t xml:space="preserve">Sem. 2</t>
  </si>
  <si>
    <t xml:space="preserve">ALTO</t>
  </si>
  <si>
    <t xml:space="preserve">Formulário onboarding</t>
  </si>
  <si>
    <t xml:space="preserve">Coleta dados da empresa por segmento (nome, horário, serviços, telefone)</t>
  </si>
  <si>
    <t xml:space="preserve">Checkout</t>
  </si>
  <si>
    <t xml:space="preserve">Integração Mercado Pago — pagamento do setup pra você</t>
  </si>
  <si>
    <t xml:space="preserve">Sem. 2–3</t>
  </si>
  <si>
    <t xml:space="preserve">Fase 3 — Core</t>
  </si>
  <si>
    <t xml:space="preserve">Webhook pós-pagamento</t>
  </si>
  <si>
    <t xml:space="preserve">Confirmação → cria tenant no Supabase automaticamente</t>
  </si>
  <si>
    <t xml:space="preserve">Sem. 3</t>
  </si>
  <si>
    <t xml:space="preserve">Provisiona instância por tenant, gera QR Code, envia pro cliente</t>
  </si>
  <si>
    <t xml:space="preserve">Sem. 3–4</t>
  </si>
  <si>
    <t xml:space="preserve">Lógica do bot</t>
  </si>
  <si>
    <t xml:space="preserve">Prompt parametrizado por segmento, FAQ, fluxo de conversa</t>
  </si>
  <si>
    <t xml:space="preserve">Sem. 4</t>
  </si>
  <si>
    <t xml:space="preserve">Fase 4 — Operação</t>
  </si>
  <si>
    <t xml:space="preserve">Agendamento</t>
  </si>
  <si>
    <t xml:space="preserve">Disponibilidade no Supabase, bot consulta e reserva horários</t>
  </si>
  <si>
    <t xml:space="preserve">Sem. 5</t>
  </si>
  <si>
    <t xml:space="preserve">Pagamento OAuth</t>
  </si>
  <si>
    <t xml:space="preserve">Mercado Pago do cliente — gera cobrança, recebe webhook, confirma</t>
  </si>
  <si>
    <t xml:space="preserve">Sem. 5–6</t>
  </si>
  <si>
    <t xml:space="preserve">Fase 5 — Gestão</t>
  </si>
  <si>
    <t xml:space="preserve">Dashboard do cliente</t>
  </si>
  <si>
    <t xml:space="preserve">Painel: agendamentos, histórico, configurações, edição de dados</t>
  </si>
  <si>
    <t xml:space="preserve">Sem. 6–7</t>
  </si>
  <si>
    <t xml:space="preserve">MÉDIO</t>
  </si>
  <si>
    <t xml:space="preserve">Painel admin (interno)</t>
  </si>
  <si>
    <t xml:space="preserve">Visão de todos os tenants, instâncias ativas, receita, suporte</t>
  </si>
  <si>
    <t xml:space="preserve">Sem. 7–8</t>
  </si>
  <si>
    <t xml:space="preserve">FLUXO COMPLETO DO SISTEMA</t>
  </si>
  <si>
    <t xml:space="preserve">FLUXO 1 — VENDA E ONBOARDING</t>
  </si>
  <si>
    <t xml:space="preserve">1</t>
  </si>
  <si>
    <t xml:space="preserve">Cliente acessa landing page e escolhe o segmento (ex: Barbearia)</t>
  </si>
  <si>
    <t xml:space="preserve">2</t>
  </si>
  <si>
    <t xml:space="preserve">Preenche formulário com dados da empresa (nome, horário, serviços, telefone)</t>
  </si>
  <si>
    <t xml:space="preserve">3</t>
  </si>
  <si>
    <t xml:space="preserve">Realiza pagamento do setup via Mercado Pago (PIX ou cartão)</t>
  </si>
  <si>
    <t xml:space="preserve">4</t>
  </si>
  <si>
    <t xml:space="preserve">Webhook confirma pagamento → sistema cria tenant no Supabase</t>
  </si>
  <si>
    <t xml:space="preserve">5</t>
  </si>
  <si>
    <t xml:space="preserve">Sistema provisiona instância na Evolution API automaticamente</t>
  </si>
  <si>
    <t xml:space="preserve">6</t>
  </si>
  <si>
    <t xml:space="preserve">Cliente recebe QR Code por e-mail → escaneia com WhatsApp</t>
  </si>
  <si>
    <t xml:space="preserve">7</t>
  </si>
  <si>
    <t xml:space="preserve">Bot entra em operação imediatamente</t>
  </si>
  <si>
    <t xml:space="preserve">FLUXO 2 — ATENDIMENTO DO BOT</t>
  </si>
  <si>
    <t xml:space="preserve">Usuário final envia mensagem para o WhatsApp do negócio</t>
  </si>
  <si>
    <t xml:space="preserve">Evolution API recebe e dispara webhook para o backend</t>
  </si>
  <si>
    <t xml:space="preserve">Backend identifica o tenant, carrega configuração e prompt do segmento</t>
  </si>
  <si>
    <t xml:space="preserve">Chama IA (Claude/GPT) com contexto do negócio parametrizado</t>
  </si>
  <si>
    <t xml:space="preserve">Resposta é enviada de volta ao WhatsApp do usuário</t>
  </si>
  <si>
    <t xml:space="preserve">FLUXO 3 — AGENDAMENTO E PAGAMENTO</t>
  </si>
  <si>
    <t xml:space="preserve">Usuário solicita agendamento durante a conversa</t>
  </si>
  <si>
    <t xml:space="preserve">Bot consulta disponibilidade de horários no Supabase</t>
  </si>
  <si>
    <t xml:space="preserve">Usuário escolhe data e horário</t>
  </si>
  <si>
    <t xml:space="preserve">Bot gera link de pagamento via Mercado Pago OAuth do cliente</t>
  </si>
  <si>
    <t xml:space="preserve">Usuário realiza o pagamento</t>
  </si>
  <si>
    <t xml:space="preserve">Webhook do Mercado Pago confirma pagamento</t>
  </si>
  <si>
    <t xml:space="preserve">Bot confirma agendamento e salva no banco de dados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</si>
</sst>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&quot;R$&quot;#,##0.00"/>
    <numFmt numFmtId="167" formatCode="&quot;R$&quot;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5B5BD6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E1E2E"/>
        <bgColor rgb="FF333300"/>
      </patternFill>
    </fill>
    <fill>
      <patternFill patternType="solid">
        <fgColor rgb="FF5B5BD6"/>
        <bgColor rgb="FF3366FF"/>
      </patternFill>
    </fill>
    <fill>
      <patternFill patternType="solid">
        <fgColor rgb="FFEFEFFF"/>
        <bgColor rgb="FFF0F0FF"/>
      </patternFill>
    </fill>
    <fill>
      <patternFill patternType="solid">
        <fgColor rgb="FFFAFAFA"/>
        <bgColor rgb="FFFFFFFF"/>
      </patternFill>
    </fill>
    <fill>
      <patternFill patternType="solid">
        <fgColor rgb="FF4A4A6A"/>
        <bgColor rgb="FF2D6A4F"/>
      </patternFill>
    </fill>
    <fill>
      <patternFill patternType="solid">
        <fgColor rgb="FFFFFFFF"/>
        <bgColor rgb="FFFAFAFA"/>
      </patternFill>
    </fill>
    <fill>
      <patternFill patternType="solid">
        <fgColor rgb="FFF5F5F5"/>
        <bgColor rgb="FFFAFAFA"/>
      </patternFill>
    </fill>
    <fill>
      <patternFill patternType="solid">
        <fgColor rgb="FF2D6A4F"/>
        <bgColor rgb="FF4A4A6A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  <fill>
      <patternFill patternType="solid">
        <fgColor rgb="FF27AE60"/>
        <bgColor rgb="FF008080"/>
      </patternFill>
    </fill>
    <fill>
      <patternFill patternType="solid">
        <fgColor rgb="FFF0F0FF"/>
        <bgColor rgb="FFEFE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CCCCC"/>
      <rgbColor rgb="FF888888"/>
      <rgbColor rgb="FF9999FF"/>
      <rgbColor rgb="FF993366"/>
      <rgbColor rgb="FFFAFAFA"/>
      <rgbColor rgb="FFEFE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F"/>
      <rgbColor rgb="FFF5F5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5B5BD6"/>
      <rgbColor rgb="FF969696"/>
      <rgbColor rgb="FF003366"/>
      <rgbColor rgb="FF27AE60"/>
      <rgbColor rgb="FF003300"/>
      <rgbColor rgb="FF333300"/>
      <rgbColor rgb="FFC0392B"/>
      <rgbColor rgb="FF993366"/>
      <rgbColor rgb="FF4A4A6A"/>
      <rgbColor rgb="FF1E1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5"/>
    <col collapsed="false" customWidth="true" hidden="false" outlineLevel="0" max="5" min="3" style="0" width="15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</row>
    <row r="4" customFormat="false" ht="24.75" hidden="false" customHeight="true" outlineLevel="0" collapsed="false">
      <c r="A4" s="3" t="s">
        <v>2</v>
      </c>
      <c r="B4" s="3"/>
      <c r="C4" s="3"/>
      <c r="D4" s="3"/>
      <c r="E4" s="3"/>
    </row>
    <row r="5" customFormat="false" ht="34.5" hidden="false" customHeight="true" outlineLevel="0" collapsed="false">
      <c r="A5" s="4" t="s">
        <v>3</v>
      </c>
      <c r="B5" s="5" t="s">
        <v>4</v>
      </c>
      <c r="C5" s="5"/>
      <c r="D5" s="5"/>
      <c r="E5" s="5"/>
    </row>
    <row r="6" customFormat="false" ht="34.5" hidden="false" customHeight="true" outlineLevel="0" collapsed="false">
      <c r="A6" s="4" t="s">
        <v>5</v>
      </c>
      <c r="B6" s="5" t="s">
        <v>6</v>
      </c>
      <c r="C6" s="5"/>
      <c r="D6" s="5"/>
      <c r="E6" s="5"/>
    </row>
    <row r="7" customFormat="false" ht="34.5" hidden="false" customHeight="true" outlineLevel="0" collapsed="false">
      <c r="A7" s="4" t="s">
        <v>7</v>
      </c>
      <c r="B7" s="5" t="s">
        <v>8</v>
      </c>
      <c r="C7" s="5"/>
      <c r="D7" s="5"/>
      <c r="E7" s="5"/>
    </row>
    <row r="8" customFormat="false" ht="34.5" hidden="false" customHeight="true" outlineLevel="0" collapsed="false">
      <c r="A8" s="4" t="s">
        <v>9</v>
      </c>
      <c r="B8" s="5" t="s">
        <v>10</v>
      </c>
      <c r="C8" s="5"/>
      <c r="D8" s="5"/>
      <c r="E8" s="5"/>
    </row>
    <row r="9" customFormat="false" ht="34.5" hidden="false" customHeight="true" outlineLevel="0" collapsed="false">
      <c r="A9" s="4" t="s">
        <v>11</v>
      </c>
      <c r="B9" s="5" t="s">
        <v>12</v>
      </c>
      <c r="C9" s="5"/>
      <c r="D9" s="5"/>
      <c r="E9" s="5"/>
    </row>
    <row r="11" customFormat="false" ht="24.75" hidden="false" customHeight="true" outlineLevel="0" collapsed="false">
      <c r="A11" s="3" t="s">
        <v>13</v>
      </c>
      <c r="B11" s="3"/>
      <c r="C11" s="3"/>
      <c r="D11" s="3"/>
      <c r="E11" s="3"/>
    </row>
    <row r="12" customFormat="false" ht="15" hidden="false" customHeight="true" outlineLevel="0" collapsed="false">
      <c r="A12" s="6" t="s">
        <v>14</v>
      </c>
      <c r="B12" s="6" t="s">
        <v>15</v>
      </c>
      <c r="C12" s="7" t="s">
        <v>16</v>
      </c>
      <c r="D12" s="7"/>
      <c r="E12" s="7"/>
    </row>
    <row r="13" customFormat="false" ht="30" hidden="false" customHeight="true" outlineLevel="0" collapsed="false">
      <c r="A13" s="8" t="s">
        <v>17</v>
      </c>
      <c r="B13" s="8" t="s">
        <v>18</v>
      </c>
      <c r="C13" s="9" t="s">
        <v>19</v>
      </c>
      <c r="D13" s="9"/>
      <c r="E13" s="9"/>
    </row>
    <row r="14" customFormat="false" ht="30" hidden="false" customHeight="true" outlineLevel="0" collapsed="false">
      <c r="A14" s="10" t="s">
        <v>20</v>
      </c>
      <c r="B14" s="10" t="s">
        <v>21</v>
      </c>
      <c r="C14" s="11" t="s">
        <v>22</v>
      </c>
      <c r="D14" s="11"/>
      <c r="E14" s="11"/>
    </row>
    <row r="15" customFormat="false" ht="30" hidden="false" customHeight="true" outlineLevel="0" collapsed="false">
      <c r="A15" s="8" t="s">
        <v>23</v>
      </c>
      <c r="B15" s="8" t="s">
        <v>24</v>
      </c>
      <c r="C15" s="9" t="s">
        <v>25</v>
      </c>
      <c r="D15" s="9"/>
      <c r="E15" s="9"/>
    </row>
    <row r="16" customFormat="false" ht="30" hidden="false" customHeight="true" outlineLevel="0" collapsed="false">
      <c r="A16" s="10" t="s">
        <v>26</v>
      </c>
      <c r="B16" s="10" t="s">
        <v>27</v>
      </c>
      <c r="C16" s="11" t="s">
        <v>28</v>
      </c>
      <c r="D16" s="11"/>
      <c r="E16" s="11"/>
    </row>
    <row r="17" customFormat="false" ht="30" hidden="false" customHeight="true" outlineLevel="0" collapsed="false">
      <c r="A17" s="8" t="s">
        <v>29</v>
      </c>
      <c r="B17" s="8" t="s">
        <v>30</v>
      </c>
      <c r="C17" s="9" t="s">
        <v>31</v>
      </c>
      <c r="D17" s="9"/>
      <c r="E17" s="9"/>
    </row>
    <row r="18" customFormat="false" ht="30" hidden="false" customHeight="true" outlineLevel="0" collapsed="false">
      <c r="A18" s="10" t="s">
        <v>32</v>
      </c>
      <c r="B18" s="10" t="s">
        <v>33</v>
      </c>
      <c r="C18" s="11" t="s">
        <v>34</v>
      </c>
      <c r="D18" s="11"/>
      <c r="E18" s="11"/>
    </row>
    <row r="19" customFormat="false" ht="30" hidden="false" customHeight="true" outlineLevel="0" collapsed="false">
      <c r="A19" s="8" t="s">
        <v>35</v>
      </c>
      <c r="B19" s="8" t="s">
        <v>36</v>
      </c>
      <c r="C19" s="9" t="s">
        <v>37</v>
      </c>
      <c r="D19" s="9"/>
      <c r="E19" s="9"/>
    </row>
    <row r="20" customFormat="false" ht="30" hidden="false" customHeight="true" outlineLevel="0" collapsed="false">
      <c r="A20" s="10" t="s">
        <v>38</v>
      </c>
      <c r="B20" s="10" t="s">
        <v>39</v>
      </c>
      <c r="C20" s="11" t="s">
        <v>40</v>
      </c>
      <c r="D20" s="11"/>
      <c r="E20" s="11"/>
    </row>
  </sheetData>
  <mergeCells count="18">
    <mergeCell ref="A1:E1"/>
    <mergeCell ref="A2:E2"/>
    <mergeCell ref="A4:E4"/>
    <mergeCell ref="B5:E5"/>
    <mergeCell ref="B6:E6"/>
    <mergeCell ref="B7:E7"/>
    <mergeCell ref="B8:E8"/>
    <mergeCell ref="B9:E9"/>
    <mergeCell ref="A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35"/>
    <col collapsed="false" customWidth="true" hidden="false" outlineLevel="0" max="6" min="6" style="0" width="22"/>
  </cols>
  <sheetData>
    <row r="1" customFormat="false" ht="34.5" hidden="false" customHeight="true" outlineLevel="0" collapsed="false">
      <c r="A1" s="12" t="s">
        <v>41</v>
      </c>
      <c r="B1" s="12"/>
      <c r="C1" s="12"/>
      <c r="D1" s="12"/>
      <c r="E1" s="12"/>
      <c r="F1" s="12"/>
    </row>
    <row r="3" customFormat="false" ht="24.75" hidden="false" customHeight="true" outlineLevel="0" collapsed="false">
      <c r="A3" s="13" t="s">
        <v>42</v>
      </c>
      <c r="B3" s="13"/>
      <c r="C3" s="13"/>
      <c r="D3" s="13"/>
      <c r="E3" s="13"/>
      <c r="F3" s="13"/>
    </row>
    <row r="4" customFormat="false" ht="15" hidden="false" customHeight="true" outlineLevel="0" collapsed="false">
      <c r="A4" s="6" t="s">
        <v>43</v>
      </c>
      <c r="B4" s="6" t="s">
        <v>44</v>
      </c>
      <c r="C4" s="6" t="s">
        <v>45</v>
      </c>
      <c r="D4" s="6" t="s">
        <v>46</v>
      </c>
      <c r="E4" s="7" t="s">
        <v>47</v>
      </c>
      <c r="F4" s="7"/>
    </row>
    <row r="5" customFormat="false" ht="27.75" hidden="false" customHeight="true" outlineLevel="0" collapsed="false">
      <c r="A5" s="8" t="s">
        <v>48</v>
      </c>
      <c r="B5" s="8" t="s">
        <v>49</v>
      </c>
      <c r="C5" s="14" t="n">
        <v>10</v>
      </c>
      <c r="D5" s="15" t="n">
        <f aca="false">C5*5.8</f>
        <v>58</v>
      </c>
      <c r="E5" s="9" t="s">
        <v>50</v>
      </c>
      <c r="F5" s="9"/>
    </row>
    <row r="6" customFormat="false" ht="27.75" hidden="false" customHeight="true" outlineLevel="0" collapsed="false">
      <c r="A6" s="10" t="s">
        <v>20</v>
      </c>
      <c r="B6" s="10" t="s">
        <v>21</v>
      </c>
      <c r="C6" s="16" t="n">
        <v>0</v>
      </c>
      <c r="D6" s="17" t="n">
        <f aca="false">C6*5.8</f>
        <v>0</v>
      </c>
      <c r="E6" s="11" t="s">
        <v>51</v>
      </c>
      <c r="F6" s="11"/>
    </row>
    <row r="7" customFormat="false" ht="27.75" hidden="false" customHeight="true" outlineLevel="0" collapsed="false">
      <c r="A7" s="8" t="s">
        <v>17</v>
      </c>
      <c r="B7" s="8" t="s">
        <v>36</v>
      </c>
      <c r="C7" s="14" t="n">
        <v>0</v>
      </c>
      <c r="D7" s="15" t="n">
        <f aca="false">C7*5.8</f>
        <v>0</v>
      </c>
      <c r="E7" s="9" t="s">
        <v>52</v>
      </c>
      <c r="F7" s="9"/>
    </row>
    <row r="8" customFormat="false" ht="27.75" hidden="false" customHeight="true" outlineLevel="0" collapsed="false">
      <c r="A8" s="18" t="s">
        <v>53</v>
      </c>
      <c r="B8" s="18"/>
      <c r="C8" s="19" t="n">
        <f aca="false">SUM(C5:C7)</f>
        <v>10</v>
      </c>
      <c r="D8" s="20" t="n">
        <f aca="false">C8*5.8</f>
        <v>58</v>
      </c>
      <c r="E8" s="21"/>
      <c r="F8" s="21"/>
    </row>
    <row r="10" customFormat="false" ht="24.75" hidden="false" customHeight="true" outlineLevel="0" collapsed="false">
      <c r="A10" s="13" t="s">
        <v>54</v>
      </c>
      <c r="B10" s="13"/>
      <c r="C10" s="13"/>
      <c r="D10" s="13"/>
      <c r="E10" s="13"/>
      <c r="F10" s="13"/>
    </row>
    <row r="11" customFormat="false" ht="15" hidden="false" customHeight="true" outlineLevel="0" collapsed="false">
      <c r="A11" s="6" t="s">
        <v>55</v>
      </c>
      <c r="B11" s="6" t="s">
        <v>56</v>
      </c>
      <c r="C11" s="6" t="s">
        <v>57</v>
      </c>
      <c r="D11" s="6" t="s">
        <v>58</v>
      </c>
      <c r="E11" s="7" t="s">
        <v>47</v>
      </c>
      <c r="F11" s="7"/>
    </row>
    <row r="12" customFormat="false" ht="30" hidden="false" customHeight="true" outlineLevel="0" collapsed="false">
      <c r="A12" s="10" t="s">
        <v>59</v>
      </c>
      <c r="B12" s="22" t="n">
        <v>300</v>
      </c>
      <c r="C12" s="22" t="n">
        <v>600</v>
      </c>
      <c r="D12" s="22" t="n">
        <v>450</v>
      </c>
      <c r="E12" s="11" t="s">
        <v>60</v>
      </c>
      <c r="F12" s="11"/>
    </row>
    <row r="13" customFormat="false" ht="30" hidden="false" customHeight="true" outlineLevel="0" collapsed="false">
      <c r="A13" s="8" t="s">
        <v>61</v>
      </c>
      <c r="B13" s="23" t="n">
        <v>100</v>
      </c>
      <c r="C13" s="23" t="n">
        <v>180</v>
      </c>
      <c r="D13" s="23" t="n">
        <v>150</v>
      </c>
      <c r="E13" s="9" t="s">
        <v>62</v>
      </c>
      <c r="F13" s="9"/>
    </row>
    <row r="15" customFormat="false" ht="24.75" hidden="false" customHeight="true" outlineLevel="0" collapsed="false">
      <c r="A15" s="13" t="s">
        <v>63</v>
      </c>
      <c r="B15" s="13"/>
      <c r="C15" s="13"/>
      <c r="D15" s="13"/>
      <c r="E15" s="13"/>
      <c r="F15" s="13"/>
    </row>
    <row r="16" customFormat="false" ht="15" hidden="false" customHeight="false" outlineLevel="0" collapsed="false">
      <c r="A16" s="6" t="s">
        <v>64</v>
      </c>
      <c r="B16" s="6" t="s">
        <v>65</v>
      </c>
      <c r="C16" s="6" t="s">
        <v>66</v>
      </c>
      <c r="D16" s="6" t="s">
        <v>67</v>
      </c>
      <c r="E16" s="6" t="s">
        <v>68</v>
      </c>
      <c r="F16" s="6" t="s">
        <v>69</v>
      </c>
    </row>
    <row r="17" customFormat="false" ht="27.75" hidden="false" customHeight="true" outlineLevel="0" collapsed="false">
      <c r="A17" s="8" t="s">
        <v>70</v>
      </c>
      <c r="B17" s="8" t="n">
        <v>3</v>
      </c>
      <c r="C17" s="23" t="n">
        <v>150</v>
      </c>
      <c r="D17" s="23" t="n">
        <f aca="false">B17*C17</f>
        <v>450</v>
      </c>
      <c r="E17" s="23" t="n">
        <v>58</v>
      </c>
      <c r="F17" s="23" t="n">
        <f aca="false">D17-E17</f>
        <v>392</v>
      </c>
    </row>
    <row r="18" customFormat="false" ht="27.75" hidden="false" customHeight="true" outlineLevel="0" collapsed="false">
      <c r="A18" s="10" t="s">
        <v>71</v>
      </c>
      <c r="B18" s="10" t="n">
        <v>10</v>
      </c>
      <c r="C18" s="22" t="n">
        <v>150</v>
      </c>
      <c r="D18" s="22" t="n">
        <f aca="false">B18*C18</f>
        <v>1500</v>
      </c>
      <c r="E18" s="22" t="n">
        <v>58</v>
      </c>
      <c r="F18" s="22" t="n">
        <f aca="false">D18-E18</f>
        <v>1442</v>
      </c>
    </row>
    <row r="19" customFormat="false" ht="27.75" hidden="false" customHeight="true" outlineLevel="0" collapsed="false">
      <c r="A19" s="8" t="s">
        <v>72</v>
      </c>
      <c r="B19" s="8" t="n">
        <v>20</v>
      </c>
      <c r="C19" s="23" t="n">
        <v>150</v>
      </c>
      <c r="D19" s="23" t="n">
        <f aca="false">B19*C19</f>
        <v>3000</v>
      </c>
      <c r="E19" s="23" t="n">
        <v>58</v>
      </c>
      <c r="F19" s="23" t="n">
        <f aca="false">D19-E19</f>
        <v>2942</v>
      </c>
    </row>
    <row r="20" customFormat="false" ht="27.75" hidden="false" customHeight="true" outlineLevel="0" collapsed="false">
      <c r="A20" s="10" t="s">
        <v>73</v>
      </c>
      <c r="B20" s="10" t="n">
        <v>40</v>
      </c>
      <c r="C20" s="22" t="n">
        <v>150</v>
      </c>
      <c r="D20" s="22" t="n">
        <f aca="false">B20*C20</f>
        <v>6000</v>
      </c>
      <c r="E20" s="22" t="n">
        <v>58</v>
      </c>
      <c r="F20" s="22" t="n">
        <f aca="false">D20-E20</f>
        <v>5942</v>
      </c>
    </row>
  </sheetData>
  <mergeCells count="12">
    <mergeCell ref="A1:F1"/>
    <mergeCell ref="A3:F3"/>
    <mergeCell ref="E4:F4"/>
    <mergeCell ref="E5:F5"/>
    <mergeCell ref="E6:F6"/>
    <mergeCell ref="E7:F7"/>
    <mergeCell ref="E8:F8"/>
    <mergeCell ref="A10:F10"/>
    <mergeCell ref="E11:F11"/>
    <mergeCell ref="E12:F12"/>
    <mergeCell ref="E13:F13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6" min="4" style="0" width="12"/>
  </cols>
  <sheetData>
    <row r="1" customFormat="false" ht="34.5" hidden="false" customHeight="true" outlineLevel="0" collapsed="false">
      <c r="A1" s="12" t="s">
        <v>74</v>
      </c>
      <c r="B1" s="12"/>
      <c r="C1" s="12"/>
      <c r="D1" s="12"/>
      <c r="E1" s="12"/>
      <c r="F1" s="12"/>
    </row>
    <row r="3" customFormat="false" ht="15" hidden="false" customHeight="false" outlineLevel="0" collapsed="false">
      <c r="A3" s="6" t="s">
        <v>75</v>
      </c>
      <c r="B3" s="6" t="s">
        <v>76</v>
      </c>
      <c r="C3" s="6" t="s">
        <v>77</v>
      </c>
      <c r="D3" s="6" t="s">
        <v>78</v>
      </c>
      <c r="E3" s="6" t="s">
        <v>79</v>
      </c>
      <c r="F3" s="6" t="s">
        <v>80</v>
      </c>
    </row>
    <row r="4" customFormat="false" ht="39.75" hidden="false" customHeight="true" outlineLevel="0" collapsed="false">
      <c r="A4" s="10" t="s">
        <v>81</v>
      </c>
      <c r="B4" s="10" t="s">
        <v>82</v>
      </c>
      <c r="C4" s="10" t="s">
        <v>83</v>
      </c>
      <c r="D4" s="10" t="s">
        <v>84</v>
      </c>
      <c r="E4" s="24" t="s">
        <v>85</v>
      </c>
      <c r="F4" s="10" t="s">
        <v>86</v>
      </c>
    </row>
    <row r="5" customFormat="false" ht="39.75" hidden="false" customHeight="true" outlineLevel="0" collapsed="false">
      <c r="A5" s="8" t="s">
        <v>81</v>
      </c>
      <c r="B5" s="8" t="s">
        <v>87</v>
      </c>
      <c r="C5" s="8" t="s">
        <v>88</v>
      </c>
      <c r="D5" s="8" t="s">
        <v>84</v>
      </c>
      <c r="E5" s="24" t="s">
        <v>85</v>
      </c>
      <c r="F5" s="8" t="s">
        <v>86</v>
      </c>
    </row>
    <row r="6" customFormat="false" ht="39.75" hidden="false" customHeight="true" outlineLevel="0" collapsed="false">
      <c r="A6" s="10" t="s">
        <v>89</v>
      </c>
      <c r="B6" s="10" t="s">
        <v>90</v>
      </c>
      <c r="C6" s="10" t="s">
        <v>91</v>
      </c>
      <c r="D6" s="10" t="s">
        <v>92</v>
      </c>
      <c r="E6" s="25" t="s">
        <v>93</v>
      </c>
      <c r="F6" s="10" t="s">
        <v>86</v>
      </c>
    </row>
    <row r="7" customFormat="false" ht="39.75" hidden="false" customHeight="true" outlineLevel="0" collapsed="false">
      <c r="A7" s="8" t="s">
        <v>89</v>
      </c>
      <c r="B7" s="8" t="s">
        <v>94</v>
      </c>
      <c r="C7" s="8" t="s">
        <v>95</v>
      </c>
      <c r="D7" s="8" t="s">
        <v>92</v>
      </c>
      <c r="E7" s="25" t="s">
        <v>93</v>
      </c>
      <c r="F7" s="8" t="s">
        <v>86</v>
      </c>
    </row>
    <row r="8" customFormat="false" ht="39.75" hidden="false" customHeight="true" outlineLevel="0" collapsed="false">
      <c r="A8" s="10" t="s">
        <v>89</v>
      </c>
      <c r="B8" s="10" t="s">
        <v>96</v>
      </c>
      <c r="C8" s="10" t="s">
        <v>97</v>
      </c>
      <c r="D8" s="10" t="s">
        <v>98</v>
      </c>
      <c r="E8" s="25" t="s">
        <v>93</v>
      </c>
      <c r="F8" s="10" t="s">
        <v>86</v>
      </c>
    </row>
    <row r="9" customFormat="false" ht="39.75" hidden="false" customHeight="true" outlineLevel="0" collapsed="false">
      <c r="A9" s="8" t="s">
        <v>99</v>
      </c>
      <c r="B9" s="8" t="s">
        <v>100</v>
      </c>
      <c r="C9" s="8" t="s">
        <v>101</v>
      </c>
      <c r="D9" s="8" t="s">
        <v>102</v>
      </c>
      <c r="E9" s="24" t="s">
        <v>85</v>
      </c>
      <c r="F9" s="8" t="s">
        <v>86</v>
      </c>
    </row>
    <row r="10" customFormat="false" ht="39.75" hidden="false" customHeight="true" outlineLevel="0" collapsed="false">
      <c r="A10" s="10" t="s">
        <v>99</v>
      </c>
      <c r="B10" s="10" t="s">
        <v>24</v>
      </c>
      <c r="C10" s="10" t="s">
        <v>103</v>
      </c>
      <c r="D10" s="10" t="s">
        <v>104</v>
      </c>
      <c r="E10" s="24" t="s">
        <v>85</v>
      </c>
      <c r="F10" s="10" t="s">
        <v>86</v>
      </c>
    </row>
    <row r="11" customFormat="false" ht="39.75" hidden="false" customHeight="true" outlineLevel="0" collapsed="false">
      <c r="A11" s="8" t="s">
        <v>99</v>
      </c>
      <c r="B11" s="8" t="s">
        <v>105</v>
      </c>
      <c r="C11" s="8" t="s">
        <v>106</v>
      </c>
      <c r="D11" s="8" t="s">
        <v>107</v>
      </c>
      <c r="E11" s="24" t="s">
        <v>85</v>
      </c>
      <c r="F11" s="8" t="s">
        <v>86</v>
      </c>
    </row>
    <row r="12" customFormat="false" ht="39.75" hidden="false" customHeight="true" outlineLevel="0" collapsed="false">
      <c r="A12" s="10" t="s">
        <v>108</v>
      </c>
      <c r="B12" s="10" t="s">
        <v>109</v>
      </c>
      <c r="C12" s="10" t="s">
        <v>110</v>
      </c>
      <c r="D12" s="10" t="s">
        <v>111</v>
      </c>
      <c r="E12" s="25" t="s">
        <v>93</v>
      </c>
      <c r="F12" s="10" t="s">
        <v>86</v>
      </c>
    </row>
    <row r="13" customFormat="false" ht="39.75" hidden="false" customHeight="true" outlineLevel="0" collapsed="false">
      <c r="A13" s="8" t="s">
        <v>108</v>
      </c>
      <c r="B13" s="8" t="s">
        <v>112</v>
      </c>
      <c r="C13" s="8" t="s">
        <v>113</v>
      </c>
      <c r="D13" s="8" t="s">
        <v>114</v>
      </c>
      <c r="E13" s="25" t="s">
        <v>93</v>
      </c>
      <c r="F13" s="8" t="s">
        <v>86</v>
      </c>
    </row>
    <row r="14" customFormat="false" ht="39.75" hidden="false" customHeight="true" outlineLevel="0" collapsed="false">
      <c r="A14" s="10" t="s">
        <v>115</v>
      </c>
      <c r="B14" s="10" t="s">
        <v>116</v>
      </c>
      <c r="C14" s="10" t="s">
        <v>117</v>
      </c>
      <c r="D14" s="10" t="s">
        <v>118</v>
      </c>
      <c r="E14" s="26" t="s">
        <v>119</v>
      </c>
      <c r="F14" s="10" t="s">
        <v>86</v>
      </c>
    </row>
    <row r="15" customFormat="false" ht="39.75" hidden="false" customHeight="true" outlineLevel="0" collapsed="false">
      <c r="A15" s="8" t="s">
        <v>115</v>
      </c>
      <c r="B15" s="8" t="s">
        <v>120</v>
      </c>
      <c r="C15" s="8" t="s">
        <v>121</v>
      </c>
      <c r="D15" s="8" t="s">
        <v>122</v>
      </c>
      <c r="E15" s="26" t="s">
        <v>119</v>
      </c>
      <c r="F15" s="8" t="s">
        <v>86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4" min="3" style="0" width="15"/>
  </cols>
  <sheetData>
    <row r="1" customFormat="false" ht="34.5" hidden="false" customHeight="true" outlineLevel="0" collapsed="false">
      <c r="A1" s="12" t="s">
        <v>123</v>
      </c>
      <c r="B1" s="12"/>
      <c r="C1" s="12"/>
      <c r="D1" s="12"/>
    </row>
    <row r="3" customFormat="false" ht="24.75" hidden="false" customHeight="true" outlineLevel="0" collapsed="false">
      <c r="A3" s="3" t="s">
        <v>124</v>
      </c>
      <c r="B3" s="3"/>
      <c r="C3" s="3"/>
      <c r="D3" s="3"/>
    </row>
    <row r="4" customFormat="false" ht="27.75" hidden="false" customHeight="true" outlineLevel="0" collapsed="false">
      <c r="A4" s="27" t="s">
        <v>125</v>
      </c>
      <c r="B4" s="28" t="s">
        <v>126</v>
      </c>
      <c r="C4" s="28"/>
      <c r="D4" s="28"/>
    </row>
    <row r="5" customFormat="false" ht="27.75" hidden="false" customHeight="true" outlineLevel="0" collapsed="false">
      <c r="A5" s="29" t="s">
        <v>127</v>
      </c>
      <c r="B5" s="30" t="s">
        <v>128</v>
      </c>
      <c r="C5" s="30"/>
      <c r="D5" s="30"/>
    </row>
    <row r="6" customFormat="false" ht="27.75" hidden="false" customHeight="true" outlineLevel="0" collapsed="false">
      <c r="A6" s="27" t="s">
        <v>129</v>
      </c>
      <c r="B6" s="28" t="s">
        <v>130</v>
      </c>
      <c r="C6" s="28"/>
      <c r="D6" s="28"/>
    </row>
    <row r="7" customFormat="false" ht="27.75" hidden="false" customHeight="true" outlineLevel="0" collapsed="false">
      <c r="A7" s="29" t="s">
        <v>131</v>
      </c>
      <c r="B7" s="30" t="s">
        <v>132</v>
      </c>
      <c r="C7" s="30"/>
      <c r="D7" s="30"/>
    </row>
    <row r="8" customFormat="false" ht="27.75" hidden="false" customHeight="true" outlineLevel="0" collapsed="false">
      <c r="A8" s="27" t="s">
        <v>133</v>
      </c>
      <c r="B8" s="28" t="s">
        <v>134</v>
      </c>
      <c r="C8" s="28"/>
      <c r="D8" s="28"/>
    </row>
    <row r="9" customFormat="false" ht="27.75" hidden="false" customHeight="true" outlineLevel="0" collapsed="false">
      <c r="A9" s="29" t="s">
        <v>135</v>
      </c>
      <c r="B9" s="30" t="s">
        <v>136</v>
      </c>
      <c r="C9" s="30"/>
      <c r="D9" s="30"/>
    </row>
    <row r="10" customFormat="false" ht="27.75" hidden="false" customHeight="true" outlineLevel="0" collapsed="false">
      <c r="A10" s="27" t="s">
        <v>137</v>
      </c>
      <c r="B10" s="28" t="s">
        <v>138</v>
      </c>
      <c r="C10" s="28"/>
      <c r="D10" s="28"/>
    </row>
    <row r="12" customFormat="false" ht="24.75" hidden="false" customHeight="true" outlineLevel="0" collapsed="false">
      <c r="A12" s="3" t="s">
        <v>139</v>
      </c>
      <c r="B12" s="3"/>
      <c r="C12" s="3"/>
      <c r="D12" s="3"/>
    </row>
    <row r="13" customFormat="false" ht="27.75" hidden="false" customHeight="true" outlineLevel="0" collapsed="false">
      <c r="A13" s="27" t="s">
        <v>125</v>
      </c>
      <c r="B13" s="28" t="s">
        <v>140</v>
      </c>
      <c r="C13" s="28"/>
      <c r="D13" s="28"/>
    </row>
    <row r="14" customFormat="false" ht="27.75" hidden="false" customHeight="true" outlineLevel="0" collapsed="false">
      <c r="A14" s="29" t="s">
        <v>127</v>
      </c>
      <c r="B14" s="30" t="s">
        <v>141</v>
      </c>
      <c r="C14" s="30"/>
      <c r="D14" s="30"/>
    </row>
    <row r="15" customFormat="false" ht="27.75" hidden="false" customHeight="true" outlineLevel="0" collapsed="false">
      <c r="A15" s="27" t="s">
        <v>129</v>
      </c>
      <c r="B15" s="28" t="s">
        <v>142</v>
      </c>
      <c r="C15" s="28"/>
      <c r="D15" s="28"/>
    </row>
    <row r="16" customFormat="false" ht="27.75" hidden="false" customHeight="true" outlineLevel="0" collapsed="false">
      <c r="A16" s="29" t="s">
        <v>131</v>
      </c>
      <c r="B16" s="30" t="s">
        <v>143</v>
      </c>
      <c r="C16" s="30"/>
      <c r="D16" s="30"/>
    </row>
    <row r="17" customFormat="false" ht="27.75" hidden="false" customHeight="true" outlineLevel="0" collapsed="false">
      <c r="A17" s="27" t="s">
        <v>133</v>
      </c>
      <c r="B17" s="28" t="s">
        <v>144</v>
      </c>
      <c r="C17" s="28"/>
      <c r="D17" s="28"/>
    </row>
    <row r="19" customFormat="false" ht="24.75" hidden="false" customHeight="true" outlineLevel="0" collapsed="false">
      <c r="A19" s="3" t="s">
        <v>145</v>
      </c>
      <c r="B19" s="3"/>
      <c r="C19" s="3"/>
      <c r="D19" s="3"/>
    </row>
    <row r="20" customFormat="false" ht="27.75" hidden="false" customHeight="true" outlineLevel="0" collapsed="false">
      <c r="A20" s="27" t="s">
        <v>125</v>
      </c>
      <c r="B20" s="28" t="s">
        <v>146</v>
      </c>
      <c r="C20" s="28"/>
      <c r="D20" s="28"/>
    </row>
    <row r="21" customFormat="false" ht="27.75" hidden="false" customHeight="true" outlineLevel="0" collapsed="false">
      <c r="A21" s="29" t="s">
        <v>127</v>
      </c>
      <c r="B21" s="30" t="s">
        <v>147</v>
      </c>
      <c r="C21" s="30"/>
      <c r="D21" s="30"/>
    </row>
    <row r="22" customFormat="false" ht="27.75" hidden="false" customHeight="true" outlineLevel="0" collapsed="false">
      <c r="A22" s="27" t="s">
        <v>129</v>
      </c>
      <c r="B22" s="28" t="s">
        <v>148</v>
      </c>
      <c r="C22" s="28"/>
      <c r="D22" s="28"/>
    </row>
    <row r="23" customFormat="false" ht="27.75" hidden="false" customHeight="true" outlineLevel="0" collapsed="false">
      <c r="A23" s="29" t="s">
        <v>131</v>
      </c>
      <c r="B23" s="30" t="s">
        <v>149</v>
      </c>
      <c r="C23" s="30"/>
      <c r="D23" s="30"/>
    </row>
    <row r="24" customFormat="false" ht="27.75" hidden="false" customHeight="true" outlineLevel="0" collapsed="false">
      <c r="A24" s="27" t="s">
        <v>133</v>
      </c>
      <c r="B24" s="28" t="s">
        <v>150</v>
      </c>
      <c r="C24" s="28"/>
      <c r="D24" s="28"/>
    </row>
    <row r="25" customFormat="false" ht="27.75" hidden="false" customHeight="true" outlineLevel="0" collapsed="false">
      <c r="A25" s="29" t="s">
        <v>135</v>
      </c>
      <c r="B25" s="30" t="s">
        <v>151</v>
      </c>
      <c r="C25" s="30"/>
      <c r="D25" s="30"/>
    </row>
    <row r="26" customFormat="false" ht="27.75" hidden="false" customHeight="true" outlineLevel="0" collapsed="false">
      <c r="A26" s="27" t="s">
        <v>137</v>
      </c>
      <c r="B26" s="28" t="s">
        <v>152</v>
      </c>
      <c r="C26" s="28"/>
      <c r="D26" s="28"/>
    </row>
  </sheetData>
  <mergeCells count="23">
    <mergeCell ref="A1:D1"/>
    <mergeCell ref="A3:D3"/>
    <mergeCell ref="B4:D4"/>
    <mergeCell ref="B5:D5"/>
    <mergeCell ref="B6:D6"/>
    <mergeCell ref="B7:D7"/>
    <mergeCell ref="B8:D8"/>
    <mergeCell ref="B9:D9"/>
    <mergeCell ref="B10:D10"/>
    <mergeCell ref="A12:D12"/>
    <mergeCell ref="B13:D13"/>
    <mergeCell ref="B14:D14"/>
    <mergeCell ref="B15:D15"/>
    <mergeCell ref="B16:D16"/>
    <mergeCell ref="B17:D17"/>
    <mergeCell ref="A19:D19"/>
    <mergeCell ref="B20:D20"/>
    <mergeCell ref="B21:D21"/>
    <mergeCell ref="B22:D22"/>
    <mergeCell ref="B23:D23"/>
    <mergeCell ref="B24:D24"/>
    <mergeCell ref="B25:D25"/>
    <mergeCell ref="B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2026-05-06T13:21:41Z</dcterms:created>
  <dc:creator>openpyxl</dc:creator>
  <dc:description/>
  <dc:language>en-US</dc:language>
  <cp:lastModifiedBy/>
  <dcterms:modified xsi:type="dcterms:W3CDTF">2026-05-06T13:21:41Z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